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__Dev\GAIS\Tables\Data\battle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<sst xmlns="http://schemas.openxmlformats.org/spreadsheetml/2006/main" count="65" uniqueCount="25">
  <si>
    <t>##var</t>
  </si>
  <si>
    <t>id</t>
  </si>
  <si>
    <t>initSkills</t>
  </si>
  <si>
    <t>initAttrs</t>
  </si>
  <si>
    <t>##type</t>
  </si>
  <si>
    <t>int</t>
  </si>
  <si>
    <t>(list#sep=|),int#rep=battle.TbGameSkillTable</t>
  </si>
  <si>
    <t>map,battle.EGameAttr,float</t>
  </si>
  <si>
    <t>##</t>
  </si>
  <si>
    <t>备注</t>
  </si>
  <si>
    <t>主角</t>
  </si>
  <si>
    <t>最大血量Base</t>
  </si>
  <si>
    <t>攻击力Base</t>
  </si>
  <si>
    <t>暴击率Base</t>
  </si>
  <si>
    <t>暴击倍率Base</t>
  </si>
  <si>
    <t>第1关</t>
  </si>
  <si>
    <t>第2关</t>
  </si>
  <si>
    <t>第3关</t>
  </si>
  <si>
    <t>第4关</t>
  </si>
  <si>
    <t>第5关 BOOS</t>
  </si>
  <si>
    <t>第6关</t>
  </si>
  <si>
    <t>第7关</t>
  </si>
  <si>
    <t>第8关</t>
  </si>
  <si>
    <t>第9关</t>
  </si>
  <si>
    <t>第10关 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</si>
</sst>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4"/>
  <sheetViews>
    <sheetView tabSelected="1"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D14" sqref="D14"/>
    </sheetView>
  </sheetViews>
  <sheetFormatPr defaultColWidth="9" defaultRowHeight="16.5"/>
  <cols>
    <col min="1" max="1" width="7.375" style="2" customWidth="1"/>
    <col min="2" max="2" width="7.875" style="2" customWidth="1"/>
    <col min="3" max="3" width="16.2583333333333" style="2" customWidth="1"/>
    <col min="4" max="4" width="47.25" style="2" customWidth="1"/>
    <col min="5" max="5" width="14.6333333333333" style="2" customWidth="1"/>
    <col min="6" max="6" width="6.45833333333333" style="2" customWidth="1"/>
    <col min="7" max="7" width="14.8166666666667" style="2" customWidth="1"/>
    <col min="8" max="8" width="5.275" style="2" customWidth="1"/>
    <col min="9" max="9" width="12.3666666666667" style="2" customWidth="1"/>
    <col min="10" max="11" width="14.6333333333333" style="2" customWidth="1"/>
    <col min="12" max="12" width="5.275" style="2" customWidth="1"/>
    <col min="13" max="16384" width="9" style="2"/>
  </cols>
  <sheetData>
    <row r="1" s="1" customFormat="1" ht="15" customHeight="1" spans="1:12">
      <c r="A1" s="1" t="s">
        <v>0</v>
      </c>
      <c r="B1" s="1" t="s">
        <v>1</v>
      </c>
      <c r="C1" s="3"/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</row>
    <row r="2" s="1" customFormat="1" ht="15" customHeight="1" spans="1:12">
      <c r="A2" s="1" t="s">
        <v>4</v>
      </c>
      <c r="B2" s="1" t="s">
        <v>5</v>
      </c>
      <c r="C2" s="3"/>
      <c r="D2" s="4" t="s">
        <v>6</v>
      </c>
      <c r="E2" s="5" t="s">
        <v>7</v>
      </c>
      <c r="F2" s="6"/>
      <c r="G2" s="6"/>
      <c r="H2" s="6"/>
      <c r="I2" s="6"/>
      <c r="J2" s="6"/>
      <c r="K2" s="6"/>
      <c r="L2" s="6"/>
    </row>
    <row r="3" s="1" customFormat="1" ht="15" customHeight="1" spans="1:12">
      <c r="A3" s="1" t="s">
        <v>8</v>
      </c>
      <c r="C3" s="1" t="s">
        <v>9</v>
      </c>
      <c r="D3" s="4"/>
      <c r="E3" s="5"/>
      <c r="F3" s="6"/>
      <c r="G3" s="6"/>
      <c r="H3" s="6"/>
      <c r="I3" s="6"/>
      <c r="J3" s="6"/>
      <c r="K3" s="6"/>
      <c r="L3" s="6"/>
    </row>
    <row r="4" s="2" customFormat="1" spans="1:12">
      <c r="B4" s="2">
        <v>1001</v>
      </c>
      <c r="C4" s="2" t="s">
        <v>10</v>
      </c>
      <c r="D4" s="2">
        <v>1011101</v>
      </c>
      <c r="E4" s="2" t="s">
        <v>11</v>
      </c>
      <c r="F4" s="2">
        <v>1000</v>
      </c>
      <c r="G4" s="2" t="s">
        <v>12</v>
      </c>
      <c r="H4" s="2">
        <v>100</v>
      </c>
      <c r="I4" s="2" t="s">
        <v>13</v>
      </c>
      <c r="J4" s="2">
        <v>0.1</v>
      </c>
      <c r="K4" s="2" t="s">
        <v>14</v>
      </c>
      <c r="L4" s="2">
        <v>1.5</v>
      </c>
    </row>
    <row r="5" spans="1:12">
      <c r="B5" s="2">
        <v>2001</v>
      </c>
      <c r="C5" s="2" t="s">
        <v>15</v>
      </c>
      <c r="D5" s="2">
        <v>1021101</v>
      </c>
      <c r="E5" s="2" t="s">
        <v>11</v>
      </c>
      <c r="F5" s="2">
        <v>1000</v>
      </c>
      <c r="G5" s="2" t="s">
        <v>12</v>
      </c>
      <c r="H5" s="2">
        <v>100</v>
      </c>
      <c r="I5" s="2" t="s">
        <v>13</v>
      </c>
      <c r="J5" s="2">
        <v>0.1</v>
      </c>
      <c r="K5" s="2" t="s">
        <v>14</v>
      </c>
      <c r="L5" s="2">
        <v>1.5</v>
      </c>
    </row>
    <row r="6" spans="1:12">
      <c r="B6" s="2">
        <v>2002</v>
      </c>
      <c r="C6" s="2" t="s">
        <v>16</v>
      </c>
      <c r="D6" s="2">
        <v>1021101</v>
      </c>
      <c r="E6" s="2" t="s">
        <v>11</v>
      </c>
      <c r="F6" s="2">
        <f t="shared" ref="F6:F8" si="0">F5+500</f>
        <v>1500</v>
      </c>
      <c r="G6" s="2" t="s">
        <v>12</v>
      </c>
      <c r="H6" s="2">
        <f t="shared" ref="H6:H8" si="1">H5+10</f>
        <v>110</v>
      </c>
      <c r="I6" s="2" t="s">
        <v>13</v>
      </c>
      <c r="J6" s="2">
        <v>0.1</v>
      </c>
      <c r="K6" s="2" t="s">
        <v>14</v>
      </c>
      <c r="L6" s="2">
        <v>1.5</v>
      </c>
    </row>
    <row r="7" spans="1:12">
      <c r="B7" s="2">
        <v>2003</v>
      </c>
      <c r="C7" s="2" t="s">
        <v>17</v>
      </c>
      <c r="D7" s="2">
        <v>1021101</v>
      </c>
      <c r="E7" s="2" t="s">
        <v>11</v>
      </c>
      <c r="F7" s="2">
        <f t="shared" si="0"/>
        <v>2000</v>
      </c>
      <c r="G7" s="2" t="s">
        <v>12</v>
      </c>
      <c r="H7" s="2">
        <f t="shared" si="1"/>
        <v>120</v>
      </c>
      <c r="I7" s="2" t="s">
        <v>13</v>
      </c>
      <c r="J7" s="2">
        <v>0.1</v>
      </c>
      <c r="K7" s="2" t="s">
        <v>14</v>
      </c>
      <c r="L7" s="2">
        <v>1.5</v>
      </c>
    </row>
    <row r="8" spans="1:12">
      <c r="B8" s="2">
        <v>2004</v>
      </c>
      <c r="C8" s="2" t="s">
        <v>18</v>
      </c>
      <c r="D8" s="2">
        <v>1021101</v>
      </c>
      <c r="E8" s="2" t="s">
        <v>11</v>
      </c>
      <c r="F8" s="2">
        <f t="shared" si="0"/>
        <v>2500</v>
      </c>
      <c r="G8" s="2" t="s">
        <v>12</v>
      </c>
      <c r="H8" s="2">
        <f t="shared" si="1"/>
        <v>130</v>
      </c>
      <c r="I8" s="2" t="s">
        <v>13</v>
      </c>
      <c r="J8" s="2">
        <v>0.1</v>
      </c>
      <c r="K8" s="2" t="s">
        <v>14</v>
      </c>
      <c r="L8" s="2">
        <v>1.5</v>
      </c>
    </row>
    <row r="9" spans="1:12">
      <c r="B9" s="2">
        <v>2005</v>
      </c>
      <c r="C9" s="2" t="s">
        <v>19</v>
      </c>
      <c r="D9" s="2">
        <v>1021101</v>
      </c>
      <c r="E9" s="2" t="s">
        <v>11</v>
      </c>
      <c r="F9" s="2">
        <f>F8*2</f>
        <v>5000</v>
      </c>
      <c r="G9" s="2" t="s">
        <v>12</v>
      </c>
      <c r="H9" s="2">
        <f>H8*2</f>
        <v>260</v>
      </c>
      <c r="I9" s="2" t="s">
        <v>13</v>
      </c>
      <c r="J9" s="2">
        <v>0.2</v>
      </c>
      <c r="K9" s="2" t="s">
        <v>14</v>
      </c>
      <c r="L9" s="2">
        <v>3</v>
      </c>
    </row>
    <row r="10" spans="1:12">
      <c r="B10" s="2">
        <v>2006</v>
      </c>
      <c r="C10" s="2" t="s">
        <v>20</v>
      </c>
      <c r="D10" s="2">
        <v>1021101</v>
      </c>
      <c r="E10" s="2" t="s">
        <v>11</v>
      </c>
      <c r="F10" s="2">
        <v>3000</v>
      </c>
      <c r="G10" s="2" t="s">
        <v>12</v>
      </c>
      <c r="H10" s="2">
        <v>140</v>
      </c>
      <c r="I10" s="2" t="s">
        <v>13</v>
      </c>
      <c r="J10" s="2">
        <v>0.1</v>
      </c>
      <c r="K10" s="2" t="s">
        <v>14</v>
      </c>
      <c r="L10" s="2">
        <v>1.5</v>
      </c>
    </row>
    <row r="11" spans="1:12">
      <c r="B11" s="2">
        <v>2007</v>
      </c>
      <c r="C11" s="2" t="s">
        <v>21</v>
      </c>
      <c r="D11" s="2">
        <v>1021101</v>
      </c>
      <c r="E11" s="2" t="s">
        <v>11</v>
      </c>
      <c r="F11" s="2">
        <f t="shared" ref="F11:F13" si="2">F10+500</f>
        <v>3500</v>
      </c>
      <c r="G11" s="2" t="s">
        <v>12</v>
      </c>
      <c r="H11" s="2">
        <f t="shared" ref="H11:H13" si="3">H10+10</f>
        <v>150</v>
      </c>
      <c r="I11" s="2" t="s">
        <v>13</v>
      </c>
      <c r="J11" s="2">
        <v>0.1</v>
      </c>
      <c r="K11" s="2" t="s">
        <v>14</v>
      </c>
      <c r="L11" s="2">
        <v>1.5</v>
      </c>
    </row>
    <row r="12" spans="1:12">
      <c r="B12" s="2">
        <v>2008</v>
      </c>
      <c r="C12" s="2" t="s">
        <v>22</v>
      </c>
      <c r="D12" s="2">
        <v>1021101</v>
      </c>
      <c r="E12" s="2" t="s">
        <v>11</v>
      </c>
      <c r="F12" s="2">
        <f t="shared" si="2"/>
        <v>4000</v>
      </c>
      <c r="G12" s="2" t="s">
        <v>12</v>
      </c>
      <c r="H12" s="2">
        <f t="shared" si="3"/>
        <v>160</v>
      </c>
      <c r="I12" s="2" t="s">
        <v>13</v>
      </c>
      <c r="J12" s="2">
        <v>0.1</v>
      </c>
      <c r="K12" s="2" t="s">
        <v>14</v>
      </c>
      <c r="L12" s="2">
        <v>1.5</v>
      </c>
    </row>
    <row r="13" spans="1:12">
      <c r="B13" s="2">
        <v>2009</v>
      </c>
      <c r="C13" s="2" t="s">
        <v>23</v>
      </c>
      <c r="D13" s="2">
        <v>1021101</v>
      </c>
      <c r="E13" s="2" t="s">
        <v>11</v>
      </c>
      <c r="F13" s="2">
        <f t="shared" si="2"/>
        <v>4500</v>
      </c>
      <c r="G13" s="2" t="s">
        <v>12</v>
      </c>
      <c r="H13" s="2">
        <f t="shared" si="3"/>
        <v>170</v>
      </c>
      <c r="I13" s="2" t="s">
        <v>13</v>
      </c>
      <c r="J13" s="2">
        <v>0.1</v>
      </c>
      <c r="K13" s="2" t="s">
        <v>14</v>
      </c>
      <c r="L13" s="2">
        <v>1.5</v>
      </c>
    </row>
    <row r="14" spans="1:12">
      <c r="B14" s="2">
        <v>2010</v>
      </c>
      <c r="C14" s="2" t="s">
        <v>24</v>
      </c>
      <c r="D14" s="2">
        <v>1021101</v>
      </c>
      <c r="E14" s="2" t="s">
        <v>11</v>
      </c>
      <c r="F14" s="2">
        <f>F13*2</f>
        <v>9000</v>
      </c>
      <c r="G14" s="2" t="s">
        <v>12</v>
      </c>
      <c r="H14" s="2">
        <f>H13*2</f>
        <v>340</v>
      </c>
      <c r="I14" s="2" t="s">
        <v>13</v>
      </c>
      <c r="J14" s="2">
        <v>0.2</v>
      </c>
      <c r="K14" s="2" t="s">
        <v>14</v>
      </c>
      <c r="L14" s="2">
        <v>3</v>
      </c>
    </row>
  </sheetData>
  <mergeCells count="3">
    <mergeCell ref="E1:L1"/>
    <mergeCell ref="E2:L2"/>
    <mergeCell ref="E3:L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刘佳伟</cp:lastModifiedBy>
  <dcterms:created xsi:type="dcterms:W3CDTF">2026-03-16T10:00:00Z</dcterms:created>
  <dcterms:modified xsi:type="dcterms:W3CDTF">2026-08-27T11:55:53Z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923248A612F2453081695438A73B1B79_13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